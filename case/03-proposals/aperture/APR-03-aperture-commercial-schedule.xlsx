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Commercial" state="visible" r:id="rId5"/>
    <sheet sheetId="3" name="Source Map Notes" state="visible" r:id="rId6"/>
  </sheets>
  <definedNames>
    <definedName name="_xlnm.Print_Area" localSheetId="1">'Commercial'!$A1:$C7</definedName>
  </definedNames>
  <calcPr calcId="171027" fullCalcOnLoad="1"/>
</workbook>
</file>

<file path=xl/sharedStrings.xml><?xml version="1.0" encoding="utf-8"?>
<sst xmlns="http://schemas.openxmlformats.org/spreadsheetml/2006/main" count="53" uniqueCount="47">
  <si>
    <t>Document ID</t>
  </si>
  <si>
    <t>APR-03</t>
  </si>
  <si>
    <t>Title</t>
  </si>
  <si>
    <t>Aperture commercial schedule</t>
  </si>
  <si>
    <t>Version</t>
  </si>
  <si>
    <t>1.0</t>
  </si>
  <si>
    <t>Date</t>
  </si>
  <si>
    <t>2026-08-27</t>
  </si>
  <si>
    <t>Issuer</t>
  </si>
  <si>
    <t>Aperture Reliability Systems</t>
  </si>
  <si>
    <t>Status</t>
  </si>
  <si>
    <t>submitted</t>
  </si>
  <si>
    <t>Case notice</t>
  </si>
  <si>
    <t>Fictional training case; all people, organisations, products, rules and events are invented.</t>
  </si>
  <si>
    <t>Line</t>
  </si>
  <si>
    <t>Item</t>
  </si>
  <si>
    <t>S$ ex GST</t>
  </si>
  <si>
    <t>C1</t>
  </si>
  <si>
    <t>Instrument and controls</t>
  </si>
  <si>
    <t>C2</t>
  </si>
  <si>
    <t>Mandatory options</t>
  </si>
  <si>
    <t>C3</t>
  </si>
  <si>
    <t>Installation and SAT</t>
  </si>
  <si>
    <t>C4</t>
  </si>
  <si>
    <t>Training</t>
  </si>
  <si>
    <t>C5</t>
  </si>
  <si>
    <t>Service through project end</t>
  </si>
  <si>
    <t>C6</t>
  </si>
  <si>
    <t>Total</t>
  </si>
  <si>
    <t>Block locator</t>
  </si>
  <si>
    <t>Type</t>
  </si>
  <si>
    <t>Content</t>
  </si>
  <si>
    <t>Source / fact references</t>
  </si>
  <si>
    <t>APR-03 T1</t>
  </si>
  <si>
    <t>table</t>
  </si>
  <si>
    <t xml:space="preserve">Line | Item | S$ ex GST
C1 | Instrument and required controls | 389000
C2 | Mandatory options | 16000
C3 | Installation and SAT | 22000
C4 | Eight-person training | 7000
C5 | Service through 2030-03-31 | 34000
C6 | Total evaluated price | 468000</t>
  </si>
  <si>
    <t/>
  </si>
  <si>
    <t>APR-03 §2</t>
  </si>
  <si>
    <t>paragraph</t>
  </si>
  <si>
    <t>Every mandatory item is included in the S$468,000 price excluding GST. There is no alternative lower-price submitted configuration.</t>
  </si>
  <si>
    <t>APR-03 §3</t>
  </si>
  <si>
    <t>heading</t>
  </si>
  <si>
    <t>Quoted-price basis</t>
  </si>
  <si>
    <t>APR-03 §3.1</t>
  </si>
  <si>
    <t>The submitted total of S$468,000 is in Singapore dollars excluding GST and applies to the configuration stated in APR-02. The line items distinguish equipment and controls from installation, acceptance, eight-person training and the signed service obligation. The C6 figure is the total for tender comparison; no allowance should be added or removed without checking the item to which it relates.</t>
  </si>
  <si>
    <t>APR-03 §3.2</t>
  </si>
  <si>
    <t>The C5 line includes the fixed service term described in the signed service schedule. The tendered total does not rely on an unpriced mandatory option. Any optional research accessory is outside the minimum configuration and would require a separate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</si>
</sst>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S$&quot;* #,##0"/>
  </numFmts>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164" fontId="0" fillId="0" borderId="0" xfId="0" applyNumberFormat="1" applyAlignment="1">
      <alignment vertical="top" wrapText="1"/>
    </xf>
    <xf numFmtId="0" fontId="1" fillId="0" borderId="0" xfId="0" applyFont="1" applyAlignment="1">
      <alignment vertical="top" wrapText="1"/>
    </xf>
    <xf numFmtId="164" fontId="1"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18000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29" style="3" customWidth="1"/>
    <col min="3" max="3" width="17" style="4" customWidth="1"/>
  </cols>
  <sheetData>
    <row r="1" spans="1:3" s="1" customFormat="1" x14ac:dyDescent="0.25">
      <c r="A1" s="5" t="s">
        <v>14</v>
      </c>
      <c r="B1" s="5" t="s">
        <v>15</v>
      </c>
      <c r="C1" s="6" t="s">
        <v>16</v>
      </c>
    </row>
    <row r="2" spans="1:3" x14ac:dyDescent="0.25">
      <c r="A2" s="3" t="s">
        <v>17</v>
      </c>
      <c r="B2" s="3" t="s">
        <v>18</v>
      </c>
      <c r="C2" s="4">
        <v>389000</v>
      </c>
    </row>
    <row r="3" spans="1:3" x14ac:dyDescent="0.25">
      <c r="A3" s="3" t="s">
        <v>19</v>
      </c>
      <c r="B3" s="3" t="s">
        <v>20</v>
      </c>
      <c r="C3" s="4">
        <v>16000</v>
      </c>
    </row>
    <row r="4" spans="1:3" x14ac:dyDescent="0.25">
      <c r="A4" s="3" t="s">
        <v>21</v>
      </c>
      <c r="B4" s="3" t="s">
        <v>22</v>
      </c>
      <c r="C4" s="4">
        <v>22000</v>
      </c>
    </row>
    <row r="5" spans="1:3" x14ac:dyDescent="0.25">
      <c r="A5" s="3" t="s">
        <v>23</v>
      </c>
      <c r="B5" s="3" t="s">
        <v>24</v>
      </c>
      <c r="C5" s="4">
        <v>7000</v>
      </c>
    </row>
    <row r="6" spans="1:3" x14ac:dyDescent="0.25">
      <c r="A6" s="3" t="s">
        <v>25</v>
      </c>
      <c r="B6" s="3" t="s">
        <v>26</v>
      </c>
      <c r="C6" s="4">
        <v>34000</v>
      </c>
    </row>
    <row r="7" spans="1:3" x14ac:dyDescent="0.25">
      <c r="A7" s="3" t="s">
        <v>27</v>
      </c>
      <c r="B7" s="3" t="s">
        <v>28</v>
      </c>
      <c r="C7" s="4">
        <f>SUM(C2:C6)</f>
        <v>468000</v>
      </c>
    </row>
  </sheetData>
  <pageSetup paperSize="9" orientation="landscape" fitToWidth="1" fitToHeight="0"/>
  <headerFooter>
    <oddHeader>&amp;LAPR-03  Aperture commercial schedule&amp;R2026-08-27</oddHeader>
    <oddFooter>&amp;CAPR-03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29</v>
      </c>
      <c r="B1" s="1" t="s">
        <v>30</v>
      </c>
      <c r="C1" s="5" t="s">
        <v>31</v>
      </c>
      <c r="D1" s="1" t="s">
        <v>32</v>
      </c>
    </row>
    <row r="2" spans="1:4" x14ac:dyDescent="0.25">
      <c r="A2" t="s">
        <v>33</v>
      </c>
      <c r="B2" t="s">
        <v>34</v>
      </c>
      <c r="C2" s="3" t="s">
        <v>35</v>
      </c>
      <c r="D2" t="s">
        <v>36</v>
      </c>
    </row>
    <row r="3" spans="1:4" x14ac:dyDescent="0.25">
      <c r="A3" t="s">
        <v>37</v>
      </c>
      <c r="B3" t="s">
        <v>38</v>
      </c>
      <c r="C3" s="3" t="s">
        <v>39</v>
      </c>
      <c r="D3" t="s">
        <v>36</v>
      </c>
    </row>
    <row r="4" spans="1:4" x14ac:dyDescent="0.25">
      <c r="A4" t="s">
        <v>40</v>
      </c>
      <c r="B4" t="s">
        <v>41</v>
      </c>
      <c r="C4" s="3" t="s">
        <v>42</v>
      </c>
      <c r="D4" t="s">
        <v>36</v>
      </c>
    </row>
    <row r="5" spans="1:4" x14ac:dyDescent="0.25">
      <c r="A5" t="s">
        <v>43</v>
      </c>
      <c r="B5" t="s">
        <v>38</v>
      </c>
      <c r="C5" s="3" t="s">
        <v>44</v>
      </c>
      <c r="D5" t="s">
        <v>36</v>
      </c>
    </row>
    <row r="6" spans="1:4" x14ac:dyDescent="0.25">
      <c r="A6" t="s">
        <v>45</v>
      </c>
      <c r="B6" t="s">
        <v>38</v>
      </c>
      <c r="C6" s="3" t="s">
        <v>46</v>
      </c>
      <c r="D6" t="s">
        <v>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Commercial</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Aperture Reliability Systems</dc:creator>
  <dc:title>Aperture commercial schedule</dc:title>
  <dc:subject>APR-03 submitted</dc:subject>
  <dc:description/>
  <cp:keywords/>
  <cp:category/>
  <cp:lastModifiedBy>Aperture Reliability Systems</cp:lastModifiedBy>
  <dcterms:created xsi:type="dcterms:W3CDTF">2026-08-27T00:00:00Z</dcterms:created>
  <dcterms:modified xsi:type="dcterms:W3CDTF">2026-08-27T00:00:00Z</dcterms:modified>
</cp:coreProperties>
</file>
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 Control" state="visible" r:id="rId4"/>
    <sheet sheetId="2" name="Mandatory Gate" state="visible" r:id="rId5"/>
    <sheet sheetId="3" name="Weighted Scores" state="visible" r:id="rId6"/>
    <sheet sheetId="4" name="Source Map Notes" state="visible" r:id="rId7"/>
  </sheets>
  <definedNames>
    <definedName name="_xlnm.Print_Area" localSheetId="1">'Mandatory Gate'!$A1:$K6</definedName>
    <definedName name="_xlnm.Print_Area" localSheetId="2">'Weighted Scores'!$A1:$F4</definedName>
  </definedNames>
  <calcPr calcId="171027" fullCalcOnLoad="1"/>
</workbook>
</file>

<file path=xl/sharedStrings.xml><?xml version="1.0" encoding="utf-8"?>
<sst xmlns="http://schemas.openxmlformats.org/spreadsheetml/2006/main" count="100" uniqueCount="56">
  <si>
    <t>Document ID</t>
  </si>
  <si>
    <t>EVAL-001</t>
  </si>
  <si>
    <t>Title</t>
  </si>
  <si>
    <t>Tender compliance and weighted scoring workbook</t>
  </si>
  <si>
    <t>Version</t>
  </si>
  <si>
    <t>0.9</t>
  </si>
  <si>
    <t>Date</t>
  </si>
  <si>
    <t>2026-09-03</t>
  </si>
  <si>
    <t>Issuer</t>
  </si>
  <si>
    <t>Evaluation Panel working file</t>
  </si>
  <si>
    <t>Status</t>
  </si>
  <si>
    <t>evaluation</t>
  </si>
  <si>
    <t>Case notice</t>
  </si>
  <si>
    <t>Fictional training case; all people, organisations, products, rules and events are invented. This is not organisational policy or Singapore procurement law.</t>
  </si>
  <si>
    <t>Vendor</t>
  </si>
  <si>
    <t>M1</t>
  </si>
  <si>
    <t>M2</t>
  </si>
  <si>
    <t>M3</t>
  </si>
  <si>
    <t>M4</t>
  </si>
  <si>
    <t>M5</t>
  </si>
  <si>
    <t>M6</t>
  </si>
  <si>
    <t>M7</t>
  </si>
  <si>
    <t>Gate</t>
  </si>
  <si>
    <t>Support end used</t>
  </si>
  <si>
    <t>Source</t>
  </si>
  <si>
    <t>Northstar</t>
  </si>
  <si>
    <t>Pass</t>
  </si>
  <si>
    <t>2030-03-31</t>
  </si>
  <si>
    <t>EMAIL-002 thread</t>
  </si>
  <si>
    <t>Meridian</t>
  </si>
  <si>
    <t>MER-005 §1.1</t>
  </si>
  <si>
    <t>Helix</t>
  </si>
  <si>
    <t>HLX-005 §1.1</t>
  </si>
  <si>
    <t>Peregrine</t>
  </si>
  <si>
    <t>Fail</t>
  </si>
  <si>
    <t>PRG-002 T-01</t>
  </si>
  <si>
    <t>Aperture</t>
  </si>
  <si>
    <t>APR-003 C6; APR-004 I-04</t>
  </si>
  <si>
    <t>Technical</t>
  </si>
  <si>
    <t>Cost</t>
  </si>
  <si>
    <t>Delivery</t>
  </si>
  <si>
    <t>Service</t>
  </si>
  <si>
    <t>Weighted total</t>
  </si>
  <si>
    <t>Block locator</t>
  </si>
  <si>
    <t>Type</t>
  </si>
  <si>
    <t>Content</t>
  </si>
  <si>
    <t>Source / fact references</t>
  </si>
  <si>
    <t>EVAL-001 Gate</t>
  </si>
  <si>
    <t>table</t>
  </si>
  <si>
    <t xml:space="preserve">Vendor | M1 | M2 | M3 | M4 | M5 | M6 | M7 | Gate | Support end used | Source
Northstar | Pass | Pass | Pass | Pass | Pass | Pass | Pass | Pass | 2030-03-31 | EMAIL-002 thread
Meridian | Pass | Pass | Pass | Pass | Pass | Pass | Pass | Pass | 2030-03-31 | MER-005 §1.1
Helix | Pass | Pass | Pass | Pass | Pass | Pass | Pass | Pass | 2030-03-31 | HLX-005 §1.1
Peregrine | Pass | Pass | Fail | Pass | Pass | Pass | Pass | Fail | 2030-03-31 | PRG-002 T-01
Aperture | Fail | Fail | Pass | Pass | Pass | Pass | Pass | Fail | 2030-03-31 | APR-003 C6; APR-004 I-04</t>
  </si>
  <si>
    <t/>
  </si>
  <si>
    <t>EVAL-001 Score</t>
  </si>
  <si>
    <t xml:space="preserve">Vendor | Technical | Cost | Delivery | Service | Weighted total
Northstar | 94 | 94 | 92 | 82 | 91.8
Meridian | 90 | 84 | 86 | 82 | 86.2
Helix | 86 | 62 | 96 | 90 | 81.4
Peregrine | — | — | — | — | Not scored
Aperture | — | — | — | — | Not scored</t>
  </si>
  <si>
    <t>EVAL-001 §1</t>
  </si>
  <si>
    <t>paragraph</t>
  </si>
  <si>
    <t>Working workbook. Northstar's support end date is a typed input sourced at thread level from EMAIL-002; the M6 and M7 gate cells follow that input. Scores are arithmetically calculated from locked panel scores.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</si>
</sst>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5364A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style="1" customWidth="1"/>
    <col min="2" max="2" width="95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ht="32" customHeight="1" spans="1:2" x14ac:dyDescent="0.25">
      <c r="A7" s="1" t="s">
        <v>12</v>
      </c>
      <c r="B7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style="3" customWidth="1"/>
    <col min="9" max="9" width="17" style="3" customWidth="1"/>
    <col min="10" max="10" width="18" style="3" customWidth="1"/>
    <col min="11" max="11" width="26" style="3" customWidth="1"/>
  </cols>
  <sheetData>
    <row r="1" spans="1:11" s="1" customForma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x14ac:dyDescent="0.25">
      <c r="A2" s="3" t="s">
        <v>25</v>
      </c>
      <c r="B2" s="3" t="s">
        <v>26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tr">
        <f>IF(COUNTIF(B2:H2,"Fail")=0,"Pass","Fail")</f>
        <v>Pass</v>
      </c>
      <c r="J2" s="3" t="s">
        <v>27</v>
      </c>
      <c r="K2" s="3" t="s">
        <v>28</v>
      </c>
    </row>
    <row r="3" spans="1:11" x14ac:dyDescent="0.25">
      <c r="A3" s="3" t="s">
        <v>29</v>
      </c>
      <c r="B3" s="3" t="s">
        <v>26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tr">
        <f>IF(COUNTIF(B3:H3,"Fail")=0,"Pass","Fail")</f>
        <v>Pass</v>
      </c>
      <c r="J3" s="3" t="s">
        <v>27</v>
      </c>
      <c r="K3" s="3" t="s">
        <v>30</v>
      </c>
    </row>
    <row r="4" spans="1:11" x14ac:dyDescent="0.25">
      <c r="A4" s="3" t="s">
        <v>31</v>
      </c>
      <c r="B4" s="3" t="s">
        <v>26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tr">
        <f>IF(COUNTIF(B4:H4,"Fail")=0,"Pass","Fail")</f>
        <v>Pass</v>
      </c>
      <c r="J4" s="3" t="s">
        <v>27</v>
      </c>
      <c r="K4" s="3" t="s">
        <v>32</v>
      </c>
    </row>
    <row r="5" spans="1:11" x14ac:dyDescent="0.25">
      <c r="A5" s="3" t="s">
        <v>33</v>
      </c>
      <c r="B5" s="3" t="s">
        <v>26</v>
      </c>
      <c r="C5" s="3" t="s">
        <v>26</v>
      </c>
      <c r="D5" s="3" t="s">
        <v>34</v>
      </c>
      <c r="E5" s="3" t="s">
        <v>26</v>
      </c>
      <c r="F5" s="3" t="s">
        <v>26</v>
      </c>
      <c r="G5" s="3" t="s">
        <v>26</v>
      </c>
      <c r="H5" s="3" t="s">
        <v>26</v>
      </c>
      <c r="I5" s="3" t="str">
        <f>IF(COUNTIF(B5:H5,"Fail")=0,"Pass","Fail")</f>
        <v>Fail</v>
      </c>
      <c r="J5" s="3" t="s">
        <v>27</v>
      </c>
      <c r="K5" s="3" t="s">
        <v>35</v>
      </c>
    </row>
    <row r="6" spans="1:11" x14ac:dyDescent="0.25">
      <c r="A6" s="3" t="s">
        <v>36</v>
      </c>
      <c r="B6" s="3" t="s">
        <v>34</v>
      </c>
      <c r="C6" s="3" t="s">
        <v>34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tr">
        <f>IF(COUNTIF(B6:H6,"Fail")=0,"Pass","Fail")</f>
        <v>Fail</v>
      </c>
      <c r="J6" s="3" t="s">
        <v>27</v>
      </c>
      <c r="K6" s="3" t="s">
        <v>37</v>
      </c>
    </row>
  </sheetData>
  <pageSetup paperSize="9" orientation="landscape" fitToWidth="1" fitToHeight="0"/>
  <headerFooter>
    <oddHeader>&amp;LEVAL-001  Tender compliance and weighted scoring workbook&amp;R2026-09-03</oddHeader>
    <oddFooter>&amp;CEVAL-001 —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style="3" customWidth="1"/>
    <col min="6" max="6" width="17" style="3" customWidth="1"/>
  </cols>
  <sheetData>
    <row r="1" spans="1:6" s="1" customFormat="1" x14ac:dyDescent="0.25">
      <c r="A1" s="4" t="s">
        <v>14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</row>
    <row r="2" spans="1:6" x14ac:dyDescent="0.25">
      <c r="A2" s="3" t="s">
        <v>25</v>
      </c>
      <c r="B2" s="3">
        <v>94</v>
      </c>
      <c r="C2" s="3">
        <v>94</v>
      </c>
      <c r="D2" s="3">
        <v>92</v>
      </c>
      <c r="E2" s="3">
        <v>82</v>
      </c>
      <c r="F2" s="3">
        <f>ROUND(B2*35%+C2*30%+D2*20%+E2*15%,1)</f>
        <v>91.8</v>
      </c>
    </row>
    <row r="3" spans="1:6" x14ac:dyDescent="0.25">
      <c r="A3" s="3" t="s">
        <v>29</v>
      </c>
      <c r="B3" s="3">
        <v>90</v>
      </c>
      <c r="C3" s="3">
        <v>84</v>
      </c>
      <c r="D3" s="3">
        <v>86</v>
      </c>
      <c r="E3" s="3">
        <v>82</v>
      </c>
      <c r="F3" s="3">
        <f>ROUND(B3*35%+C3*30%+D3*20%+E3*15%,1)</f>
        <v>86.2</v>
      </c>
    </row>
    <row r="4" spans="1:6" x14ac:dyDescent="0.25">
      <c r="A4" s="3" t="s">
        <v>31</v>
      </c>
      <c r="B4" s="3">
        <v>86</v>
      </c>
      <c r="C4" s="3">
        <v>62</v>
      </c>
      <c r="D4" s="3">
        <v>96</v>
      </c>
      <c r="E4" s="3">
        <v>90</v>
      </c>
      <c r="F4" s="3">
        <f>ROUND(B4*35%+C4*30%+D4*20%+E4*15%,1)</f>
        <v>81.4</v>
      </c>
    </row>
  </sheetData>
  <pageSetup paperSize="9" orientation="landscape" fitToWidth="1" fitToHeight="0"/>
  <headerFooter>
    <oddHeader>&amp;LEVAL-001  Tender compliance and weighted scoring workbook&amp;R2026-09-03</oddHeader>
    <oddFooter>&amp;CEVAL-001 —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105" style="3" customWidth="1"/>
    <col min="4" max="4" width="42" customWidth="1"/>
  </cols>
  <sheetData>
    <row r="1" spans="1:4" s="1" customFormat="1" x14ac:dyDescent="0.25">
      <c r="A1" s="1" t="s">
        <v>43</v>
      </c>
      <c r="B1" s="1" t="s">
        <v>44</v>
      </c>
      <c r="C1" s="4" t="s">
        <v>45</v>
      </c>
      <c r="D1" s="1" t="s">
        <v>46</v>
      </c>
    </row>
    <row r="2" spans="1:4" x14ac:dyDescent="0.25">
      <c r="A2" t="s">
        <v>47</v>
      </c>
      <c r="B2" t="s">
        <v>48</v>
      </c>
      <c r="C2" s="3" t="s">
        <v>49</v>
      </c>
      <c r="D2" t="s">
        <v>50</v>
      </c>
    </row>
    <row r="3" spans="1:4" x14ac:dyDescent="0.25">
      <c r="A3" t="s">
        <v>51</v>
      </c>
      <c r="B3" t="s">
        <v>48</v>
      </c>
      <c r="C3" s="3" t="s">
        <v>52</v>
      </c>
      <c r="D3" t="s">
        <v>50</v>
      </c>
    </row>
    <row r="4" spans="1:4" x14ac:dyDescent="0.25">
      <c r="A4" t="s">
        <v>53</v>
      </c>
      <c r="B4" t="s">
        <v>54</v>
      </c>
      <c r="C4" s="3" t="s">
        <v>55</v>
      </c>
      <c r="D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 Control</vt:lpstr>
      <vt:lpstr>Mandatory Gate</vt:lpstr>
      <vt:lpstr>Weighted Scores</vt:lpstr>
      <vt:lpstr>Source Map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Evaluation Panel working file</dc:creator>
  <dc:title>Tender compliance and weighted scoring workbook</dc:title>
  <dc:subject>EVAL-001 evaluation</dc:subject>
  <dc:description/>
  <cp:keywords/>
  <cp:category/>
  <cp:lastModifiedBy>Evaluation Panel working file</cp:lastModifiedBy>
  <dcterms:created xsi:type="dcterms:W3CDTF">2026-09-03T00:00:00Z</dcterms:created>
  <dcterms:modified xsi:type="dcterms:W3CDTF">2026-09-03T00:00:00Z</dcterms:modified>
</cp:coreProperties>
</file>